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7912f5e20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fc43d86724924c06"/>
    <x:sheet xmlns:r="http://schemas.openxmlformats.org/officeDocument/2006/relationships" name="Dashboard" sheetId="2" r:id="R4c53bb76ce3d472b"/>
    <x:sheet xmlns:r="http://schemas.openxmlformats.org/officeDocument/2006/relationships" name="Release_Readiness" sheetId="3" r:id="R952ccc41fb124766"/>
    <x:sheet xmlns:r="http://schemas.openxmlformats.org/officeDocument/2006/relationships" name="Risk_Register" sheetId="4" r:id="Rc9b6203e0a3d45fc"/>
    <x:sheet xmlns:r="http://schemas.openxmlformats.org/officeDocument/2006/relationships" name="Bug_Triage" sheetId="5" r:id="R9b711f259c404258"/>
    <x:sheet xmlns:r="http://schemas.openxmlformats.org/officeDocument/2006/relationships" name="Regression_Scope" sheetId="6" r:id="R0f8debf05a554b4a"/>
    <x:sheet xmlns:r="http://schemas.openxmlformats.org/officeDocument/2006/relationships" name="Deployment" sheetId="7" r:id="R1dfc9210e1ce4dc5"/>
    <x:sheet xmlns:r="http://schemas.openxmlformats.org/officeDocument/2006/relationships" name="Post_Release" sheetId="8" r:id="R772b2a601cad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07111F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e556c9d4d4b60" /><Relationship Type="http://schemas.openxmlformats.org/officeDocument/2006/relationships/theme" Target="/xl/theme/theme1.xml" Id="Rdc7f2cc792464141" /><Relationship Type="http://schemas.openxmlformats.org/officeDocument/2006/relationships/sharedStrings" Target="/xl/sharedStrings.xml" Id="R2a0adabc1c4d458a" /><Relationship Type="http://schemas.openxmlformats.org/officeDocument/2006/relationships/worksheet" Target="/xl/worksheets/sheet1.xml" Id="Rfc43d86724924c06" /><Relationship Type="http://schemas.openxmlformats.org/officeDocument/2006/relationships/worksheet" Target="/xl/worksheets/sheet2.xml" Id="R4c53bb76ce3d472b" /><Relationship Type="http://schemas.openxmlformats.org/officeDocument/2006/relationships/worksheet" Target="/xl/worksheets/sheet3.xml" Id="R952ccc41fb124766" /><Relationship Type="http://schemas.openxmlformats.org/officeDocument/2006/relationships/worksheet" Target="/xl/worksheets/sheet4.xml" Id="Rc9b6203e0a3d45fc" /><Relationship Type="http://schemas.openxmlformats.org/officeDocument/2006/relationships/worksheet" Target="/xl/worksheets/sheet5.xml" Id="R9b711f259c404258" /><Relationship Type="http://schemas.openxmlformats.org/officeDocument/2006/relationships/worksheet" Target="/xl/worksheets/sheet6.xml" Id="R0f8debf05a554b4a" /><Relationship Type="http://schemas.openxmlformats.org/officeDocument/2006/relationships/worksheet" Target="/xl/worksheets/sheet7.xml" Id="R1dfc9210e1ce4dc5" /><Relationship Type="http://schemas.openxmlformats.org/officeDocument/2006/relationships/worksheet" Target="/xl/worksheets/sheet8.xml" Id="R772b2a601cad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Statuses</x:v>
      </x:c>
      <x:c r="B1" s="5" t="str">
        <x:v>Health</x:v>
      </x:c>
      <x:c r="C1" s="5" t="str">
        <x:v>Severity</x:v>
      </x:c>
      <x:c r="D1" s="5" t="str">
        <x:v>Priority</x:v>
      </x:c>
      <x:c r="E1" s="5" t="str">
        <x:v>Risk Decision</x:v>
      </x:c>
      <x:c r="F1" s="5" t="str">
        <x:v>YesNo</x:v>
      </x:c>
    </x:row>
    <x:row r="2">
      <x:c r="A2" t="str">
        <x:v>Not Started</x:v>
      </x:c>
      <x:c r="B2" t="str">
        <x:v>Green</x:v>
      </x:c>
      <x:c r="C2" t="str">
        <x:v>Blocker</x:v>
      </x:c>
      <x:c r="D2" t="str">
        <x:v>P0</x:v>
      </x:c>
      <x:c r="E2" t="str">
        <x:v>Accept</x:v>
      </x:c>
      <x:c r="F2" t="str">
        <x:v>Yes</x:v>
      </x:c>
    </x:row>
    <x:row r="3">
      <x:c r="A3" t="str">
        <x:v>In Progress</x:v>
      </x:c>
      <x:c r="B3" t="str">
        <x:v>Yellow</x:v>
      </x:c>
      <x:c r="C3" t="str">
        <x:v>Critical</x:v>
      </x:c>
      <x:c r="D3" t="str">
        <x:v>P1</x:v>
      </x:c>
      <x:c r="E3" t="str">
        <x:v>Fix</x:v>
      </x:c>
      <x:c r="F3" t="str">
        <x:v>No</x:v>
      </x:c>
    </x:row>
    <x:row r="4">
      <x:c r="A4" t="str">
        <x:v>Passed</x:v>
      </x:c>
      <x:c r="B4" t="str">
        <x:v>Red</x:v>
      </x:c>
      <x:c r="C4" t="str">
        <x:v>High</x:v>
      </x:c>
      <x:c r="D4" t="str">
        <x:v>P2</x:v>
      </x:c>
      <x:c r="E4" t="str">
        <x:v>Monitor</x:v>
      </x:c>
      <x:c r="F4" t="str">
        <x:v>Unknown</x:v>
      </x:c>
    </x:row>
    <x:row r="5">
      <x:c r="A5" t="str">
        <x:v>Failed</x:v>
      </x:c>
      <x:c r="C5" t="str">
        <x:v>Medium</x:v>
      </x:c>
      <x:c r="D5" t="str">
        <x:v>P3</x:v>
      </x:c>
      <x:c r="E5" t="str">
        <x:v>Block</x:v>
      </x:c>
    </x:row>
    <x:row r="6">
      <x:c r="A6" t="str">
        <x:v>Blocked</x:v>
      </x:c>
      <x:c r="C6" t="str">
        <x:v>Low</x:v>
      </x:c>
      <x:c r="D6" t="str">
        <x:v>P4</x:v>
      </x:c>
    </x:row>
    <x:row r="7">
      <x:c r="A7" t="str">
        <x:v>Skipped</x:v>
      </x:c>
    </x:row>
    <x:row r="8">
      <x:c r="A8" t="str">
        <x:v>Ready</x:v>
      </x:c>
    </x:row>
    <x:row r="9">
      <x:c r="A9" t="str">
        <x:v>Done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3" t="str">
        <x:v>QA Release Command Center Tracker</x:v>
      </x:c>
      <x:c r="B1" s="13" t="str">
        <x:v>QA Release Command Center Tracker</x:v>
      </x:c>
      <x:c r="C1" s="13" t="str">
        <x:v>QA Release Command Center Tracker</x:v>
      </x:c>
      <x:c r="D1" s="13" t="str">
        <x:v>QA Release Command Center Tracker</x:v>
      </x:c>
      <x:c r="E1" s="13" t="str">
        <x:v>QA Release Command Center Tracker</x:v>
      </x:c>
      <x:c r="F1" s="13" t="str">
        <x:v>QA Release Command Center Tracker</x:v>
      </x:c>
      <x:c r="G1" s="13" t="str">
        <x:v>QA Release Command Center Tracker</x:v>
      </x:c>
      <x:c r="H1" s="13" t="str">
        <x:v>QA Release Command Center Tracker</x:v>
      </x:c>
    </x:row>
    <x:row r="3">
      <x:c r="A3" s="19" t="str">
        <x:v>Release Version</x:v>
      </x:c>
      <x:c r="B3" t="str"/>
      <x:c r="D3" s="5" t="str">
        <x:v>Metric</x:v>
      </x:c>
      <x:c r="E3" s="5" t="str">
        <x:v>Formula / Value</x:v>
      </x:c>
      <x:c r="F3" s="5" t="str">
        <x:v>Target</x:v>
      </x:c>
      <x:c r="G3" s="5" t="str">
        <x:v>Status</x:v>
      </x:c>
      <x:c r="H3" s="5" t="str">
        <x:v>Notes</x:v>
      </x:c>
    </x:row>
    <x:row r="4">
      <x:c r="A4" s="19" t="str">
        <x:v>Product / System</x:v>
      </x:c>
      <x:c r="B4" t="str"/>
      <x:c r="D4" t="str">
        <x:v>Readiness Score</x:v>
      </x:c>
      <x:c r="E4" t="n">
        <x:f>IFERROR(ROUND(AVERAGE(Release_Readiness!C5:C28)/3*100,0),0)</x:f>
        <x:v>0</x:v>
      </x:c>
      <x:c r="F4" t="str">
        <x:v>&gt;=90</x:v>
      </x:c>
      <x:c r="G4" t="str">
        <x:f>IF(E4&gt;=90,"Green",IF(E4&gt;=75,"Yellow","Red"))</x:f>
        <x:v>Red</x:v>
      </x:c>
      <x:c r="H4" t="str"/>
    </x:row>
    <x:row r="5">
      <x:c r="A5" s="19" t="str">
        <x:v>Planned Release Date</x:v>
      </x:c>
      <x:c r="B5" t="str"/>
      <x:c r="D5" t="str">
        <x:v>Open Blocker Bugs</x:v>
      </x:c>
      <x:c r="E5" t="n">
        <x:f>COUNTIF(Bug_Triage!K5:K104,"Yes")</x:f>
        <x:v>0</x:v>
      </x:c>
      <x:c r="F5" t="str">
        <x:v>0</x:v>
      </x:c>
      <x:c r="G5" t="str">
        <x:f>IF(E5=0,"Green","Red")</x:f>
        <x:v>Green</x:v>
      </x:c>
      <x:c r="H5" t="str"/>
    </x:row>
    <x:row r="6">
      <x:c r="A6" s="19" t="str">
        <x:v>QA Owner</x:v>
      </x:c>
      <x:c r="B6" t="str"/>
      <x:c r="D6" t="str">
        <x:v>Open High/Critical Risks</x:v>
      </x:c>
      <x:c r="E6" t="n">
        <x:f>COUNTIF(Risk_Register!F5:F104,"High")+COUNTIF(Risk_Register!F5:F104,"Critical")</x:f>
        <x:v>0</x:v>
      </x:c>
      <x:c r="F6" t="str">
        <x:v>0 accepted/unowned</x:v>
      </x:c>
      <x:c r="G6" t="str">
        <x:f>IF(E6=0,"Green","Yellow")</x:f>
        <x:v>Green</x:v>
      </x:c>
      <x:c r="H6" t="str"/>
    </x:row>
    <x:row r="7">
      <x:c r="A7" s="19" t="str">
        <x:v>Product Owner</x:v>
      </x:c>
      <x:c r="B7" t="str"/>
      <x:c r="D7" t="str">
        <x:v>Regression Passed %</x:v>
      </x:c>
      <x:c r="E7" t="n">
        <x:f>IFERROR(COUNTIF(Regression_Scope!G5:G104,"Passed")/COUNTA(Regression_Scope!G5:G104)*100,0)</x:f>
        <x:v>0</x:v>
      </x:c>
      <x:c r="F7" t="str">
        <x:v>&gt;=90%</x:v>
      </x:c>
      <x:c r="G7" t="str">
        <x:f>IF(E7&gt;=90,"Green",IF(E7&gt;=75,"Yellow","Red"))</x:f>
        <x:v>Red</x:v>
      </x:c>
      <x:c r="H7" t="str"/>
    </x:row>
    <x:row r="8">
      <x:c r="A8" s="19" t="str">
        <x:v>R&amp;D Owner</x:v>
      </x:c>
      <x:c r="B8" t="str"/>
      <x:c r="D8" t="str">
        <x:v>Deployment Checklist Passed %</x:v>
      </x:c>
      <x:c r="E8" t="n">
        <x:f>IFERROR(COUNTIF(Deployment!D5:D54,"Passed")/COUNTA(Deployment!D5:D54)*100,0)</x:f>
        <x:v>0</x:v>
      </x:c>
      <x:c r="F8" t="str">
        <x:v>&gt;=90%</x:v>
      </x:c>
      <x:c r="G8" t="str">
        <x:f>IF(E8&gt;=90,"Green",IF(E8&gt;=75,"Yellow","Red"))</x:f>
        <x:v>Red</x:v>
      </x:c>
      <x:c r="H8" t="str"/>
    </x:row>
    <x:row r="9">
      <x:c r="A9" s="19" t="str">
        <x:v>Decision</x:v>
      </x:c>
      <x:c r="B9" t="str"/>
      <x:c r="D9" t="str">
        <x:v>Post-Deploy Sanity Ready</x:v>
      </x:c>
      <x:c r="E9" t="str">
        <x:f>IF(COUNTIF(Deployment!A5:A54,"Post-deploy sanity owner assigned")&gt;0,"Yes","Check")</x:f>
        <x:v>Check</x:v>
      </x:c>
      <x:c r="F9" t="str">
        <x:v>Yes</x:v>
      </x:c>
      <x:c r="G9" t="str">
        <x:f>IF(E9="Yes","Green","Yellow")</x:f>
        <x:v>Yellow</x:v>
      </x:c>
      <x:c r="H9" t="str"/>
    </x:row>
    <x:row r="10">
      <x:c r="A10" s="19" t="str">
        <x:v>Last Updated</x:v>
      </x:c>
      <x:c r="B10" s="22" t="n">
        <x:v>46206.40620824074</x:v>
      </x:c>
    </x:row>
    <x:row r="12">
      <x:c r="A12" s="26" t="str">
        <x:v>Recommended next action</x:v>
      </x:c>
      <x:c r="B12" s="26" t="str">
        <x:v>Owner</x:v>
      </x:c>
      <x:c r="C12" s="26" t="str">
        <x:v>Due Date</x:v>
      </x:c>
      <x:c r="D12" s="26" t="str">
        <x:v>Status</x:v>
      </x:c>
      <x:c r="E12" s="26" t="str">
        <x:v>Evidence / Link</x:v>
      </x:c>
      <x:c r="F12" s="26" t="str">
        <x:v>Risk</x:v>
      </x:c>
      <x:c r="G12" s="26" t="str">
        <x:v>Decision Needed</x:v>
      </x:c>
      <x:c r="H12" s="26" t="str">
        <x:v>Notes</x:v>
      </x:c>
    </x:row>
    <x:row r="13">
      <x:c r="A13" s="27" t="str"/>
      <x:c r="B13" s="27" t="str"/>
      <x:c r="C13" s="28" t="str"/>
      <x:c r="D13" s="27" t="str"/>
      <x:c r="E13" s="27" t="str"/>
      <x:c r="F13" s="27" t="str"/>
      <x:c r="G13" s="27" t="str"/>
      <x:c r="H13" s="27" t="str"/>
    </x:row>
    <x:row r="14">
      <x:c r="A14" s="27" t="str"/>
      <x:c r="B14" s="27" t="str"/>
      <x:c r="C14" s="28" t="str"/>
      <x:c r="D14" s="27" t="str"/>
      <x:c r="E14" s="27" t="str"/>
      <x:c r="F14" s="27" t="str"/>
      <x:c r="G14" s="27" t="str"/>
      <x:c r="H14" s="27" t="str"/>
    </x:row>
    <x:row r="15">
      <x:c r="A15" s="27" t="str"/>
      <x:c r="B15" s="27" t="str"/>
      <x:c r="C15" s="28" t="str"/>
      <x:c r="D15" s="27" t="str"/>
      <x:c r="E15" s="27" t="str"/>
      <x:c r="F15" s="27" t="str"/>
      <x:c r="G15" s="27" t="str"/>
      <x:c r="H15" s="27" t="str"/>
    </x:row>
    <x:row r="16">
      <x:c r="A16" s="27" t="str"/>
      <x:c r="B16" s="27" t="str"/>
      <x:c r="C16" s="28" t="str"/>
      <x:c r="D16" s="27" t="str"/>
      <x:c r="E16" s="27" t="str"/>
      <x:c r="F16" s="27" t="str"/>
      <x:c r="G16" s="27" t="str"/>
      <x:c r="H16" s="27" t="str"/>
    </x:row>
    <x:row r="17">
      <x:c r="A17" s="27" t="str"/>
      <x:c r="B17" s="27" t="str"/>
      <x:c r="C17" s="28" t="str"/>
      <x:c r="D17" s="27" t="str"/>
      <x:c r="E17" s="27" t="str"/>
      <x:c r="F17" s="27" t="str"/>
      <x:c r="G17" s="27" t="str"/>
      <x:c r="H17" s="27" t="str"/>
    </x:row>
    <x:row r="18">
      <x:c r="A18" s="27" t="str"/>
      <x:c r="B18" s="27" t="str"/>
      <x:c r="C18" s="28" t="str"/>
      <x:c r="D18" s="27" t="str"/>
      <x:c r="E18" s="27" t="str"/>
      <x:c r="F18" s="27" t="str"/>
      <x:c r="G18" s="27" t="str"/>
      <x:c r="H18" s="27" t="str"/>
    </x:row>
    <x:row r="19">
      <x:c r="A19" s="27" t="str"/>
      <x:c r="B19" s="27" t="str"/>
      <x:c r="C19" s="28" t="str"/>
      <x:c r="D19" s="27" t="str"/>
      <x:c r="E19" s="27" t="str"/>
      <x:c r="F19" s="27" t="str"/>
      <x:c r="G19" s="27" t="str"/>
      <x:c r="H19" s="27" t="str"/>
    </x:row>
    <x:row r="20">
      <x:c r="A20" s="27" t="str"/>
      <x:c r="B20" s="27" t="str"/>
      <x:c r="C20" s="28" t="str"/>
      <x:c r="D20" s="27" t="str"/>
      <x:c r="E20" s="27" t="str"/>
      <x:c r="F20" s="27" t="str"/>
      <x:c r="G20" s="27" t="str"/>
      <x:c r="H20" s="27" t="str"/>
    </x:row>
    <x:row r="21">
      <x:c r="A21" s="27" t="str"/>
      <x:c r="B21" s="27" t="str"/>
      <x:c r="C21" s="28" t="str"/>
      <x:c r="D21" s="27" t="str"/>
      <x:c r="E21" s="27" t="str"/>
      <x:c r="F21" s="27" t="str"/>
      <x:c r="G21" s="27" t="str"/>
      <x:c r="H21" s="27" t="str"/>
    </x:row>
    <x:row r="22">
      <x:c r="A22" s="27" t="str"/>
      <x:c r="B22" s="27" t="str"/>
      <x:c r="C22" s="28" t="str"/>
      <x:c r="D22" s="27" t="str"/>
      <x:c r="E22" s="27" t="str"/>
      <x:c r="F22" s="27" t="str"/>
      <x:c r="G22" s="27" t="str"/>
      <x:c r="H22" s="27" t="str"/>
    </x:row>
  </x:sheetData>
  <x:mergeCells>
    <x:mergeCell ref="A1:H1"/>
  </x:mergeCells>
  <x:conditionalFormatting sqref="G4:G9">
    <x:cfRule type="expression" dxfId="0" priority="1">
      <x:formula>G4="Green"</x:formula>
    </x:cfRule>
    <x:cfRule type="expression" dxfId="1" priority="2">
      <x:formula>G4="Yellow"</x:formula>
    </x:cfRule>
    <x:cfRule type="expression" dxfId="2" priority="3">
      <x:formula>G4="Red"</x:formula>
    </x:cfRule>
  </x:conditionalFormatting>
  <x:dataValidations count="1">
    <x:dataValidation type="list" sqref="D13:D22">
      <x:formula1>Lists!$A$2:$A$9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3" t="str">
        <x:v>Release Readiness Checklist</x:v>
      </x:c>
      <x:c r="B1" s="13" t="str">
        <x:v>Release Readiness Checklist</x:v>
      </x:c>
      <x:c r="C1" s="13" t="str">
        <x:v>Release Readiness Checklist</x:v>
      </x:c>
      <x:c r="D1" s="13" t="str">
        <x:v>Release Readiness Checklist</x:v>
      </x:c>
      <x:c r="E1" s="13" t="str">
        <x:v>Release Readiness Checklist</x:v>
      </x:c>
      <x:c r="F1" s="13" t="str">
        <x:v>Release Readiness Checklist</x:v>
      </x:c>
    </x:row>
    <x:row r="3">
      <x:c r="A3" s="26" t="str">
        <x:v>Area</x:v>
      </x:c>
      <x:c r="B3" s="26" t="str">
        <x:v>Check</x:v>
      </x:c>
      <x:c r="C3" s="26" t="str">
        <x:v>Score 0-3</x:v>
      </x:c>
      <x:c r="D3" s="26" t="str">
        <x:v>Evidence / Link</x:v>
      </x:c>
      <x:c r="E3" s="26" t="str">
        <x:v>Owner</x:v>
      </x:c>
      <x:c r="F3" s="26" t="str">
        <x:v>Notes</x:v>
      </x:c>
    </x:row>
    <x:row r="4">
      <x:c r="A4" s="27" t="str">
        <x:v>Scope</x:v>
      </x:c>
      <x:c r="B4" s="27" t="str">
        <x:v>Release scope is finalized and documented</x:v>
      </x:c>
      <x:c r="C4" s="27" t="str"/>
      <x:c r="D4" s="27" t="str"/>
      <x:c r="E4" s="27" t="str"/>
      <x:c r="F4" s="27" t="str"/>
    </x:row>
    <x:row r="5">
      <x:c r="A5" s="27" t="str">
        <x:v>Scope</x:v>
      </x:c>
      <x:c r="B5" s="27" t="str">
        <x:v>Excluded/deferred items are documented</x:v>
      </x:c>
      <x:c r="C5" s="27" t="str"/>
      <x:c r="D5" s="27" t="str"/>
      <x:c r="E5" s="27" t="str"/>
      <x:c r="F5" s="27" t="str"/>
    </x:row>
    <x:row r="6">
      <x:c r="A6" s="27" t="str">
        <x:v>Requirements</x:v>
      </x:c>
      <x:c r="B6" s="27" t="str">
        <x:v>Acceptance criteria are clear</x:v>
      </x:c>
      <x:c r="C6" s="27" t="str"/>
      <x:c r="D6" s="27" t="str"/>
      <x:c r="E6" s="27" t="str"/>
      <x:c r="F6" s="27" t="str"/>
    </x:row>
    <x:row r="7">
      <x:c r="A7" s="27" t="str">
        <x:v>Requirements</x:v>
      </x:c>
      <x:c r="B7" s="27" t="str">
        <x:v>Product owner reviewed implemented scope</x:v>
      </x:c>
      <x:c r="C7" s="27" t="str"/>
      <x:c r="D7" s="27" t="str"/>
      <x:c r="E7" s="27" t="str"/>
      <x:c r="F7" s="27" t="str"/>
    </x:row>
    <x:row r="8">
      <x:c r="A8" s="27" t="str">
        <x:v>Test execution</x:v>
      </x:c>
      <x:c r="B8" s="27" t="str">
        <x:v>Smoke testing completed</x:v>
      </x:c>
      <x:c r="C8" s="27" t="str"/>
      <x:c r="D8" s="27" t="str"/>
      <x:c r="E8" s="27" t="str"/>
      <x:c r="F8" s="27" t="str"/>
    </x:row>
    <x:row r="9">
      <x:c r="A9" s="27" t="str">
        <x:v>Test execution</x:v>
      </x:c>
      <x:c r="B9" s="27" t="str">
        <x:v>Regression testing completed for critical flows</x:v>
      </x:c>
      <x:c r="C9" s="27" t="str"/>
      <x:c r="D9" s="27" t="str"/>
      <x:c r="E9" s="27" t="str"/>
      <x:c r="F9" s="27" t="str"/>
    </x:row>
    <x:row r="10">
      <x:c r="A10" s="27" t="str">
        <x:v>Test execution</x:v>
      </x:c>
      <x:c r="B10" s="27" t="str">
        <x:v>Failed tests reviewed and classified</x:v>
      </x:c>
      <x:c r="C10" s="27" t="str"/>
      <x:c r="D10" s="27" t="str"/>
      <x:c r="E10" s="27" t="str"/>
      <x:c r="F10" s="27" t="str"/>
    </x:row>
    <x:row r="11">
      <x:c r="A11" s="27" t="str">
        <x:v>Bugs</x:v>
      </x:c>
      <x:c r="B11" s="27" t="str">
        <x:v>No open blocker bugs</x:v>
      </x:c>
      <x:c r="C11" s="27" t="str"/>
      <x:c r="D11" s="27" t="str"/>
      <x:c r="E11" s="27" t="str"/>
      <x:c r="F11" s="27" t="str"/>
    </x:row>
    <x:row r="12">
      <x:c r="A12" s="27" t="str">
        <x:v>Bugs</x:v>
      </x:c>
      <x:c r="B12" s="27" t="str">
        <x:v>Critical/high bugs have release decision</x:v>
      </x:c>
      <x:c r="C12" s="27" t="str"/>
      <x:c r="D12" s="27" t="str"/>
      <x:c r="E12" s="27" t="str"/>
      <x:c r="F12" s="27" t="str"/>
    </x:row>
    <x:row r="13">
      <x:c r="A13" s="27" t="str">
        <x:v>Bugs</x:v>
      </x:c>
      <x:c r="B13" s="27" t="str">
        <x:v>Known issues are documented</x:v>
      </x:c>
      <x:c r="C13" s="27" t="str"/>
      <x:c r="D13" s="27" t="str"/>
      <x:c r="E13" s="27" t="str"/>
      <x:c r="F13" s="27" t="str"/>
    </x:row>
    <x:row r="14">
      <x:c r="A14" s="27" t="str">
        <x:v>Automation</x:v>
      </x:c>
      <x:c r="B14" s="27" t="str">
        <x:v>Automated suite executed</x:v>
      </x:c>
      <x:c r="C14" s="27" t="str"/>
      <x:c r="D14" s="27" t="str"/>
      <x:c r="E14" s="27" t="str"/>
      <x:c r="F14" s="27" t="str"/>
    </x:row>
    <x:row r="15">
      <x:c r="A15" s="27" t="str">
        <x:v>Automation</x:v>
      </x:c>
      <x:c r="B15" s="27" t="str">
        <x:v>Automation failures analyzed</x:v>
      </x:c>
      <x:c r="C15" s="27" t="str"/>
      <x:c r="D15" s="27" t="str"/>
      <x:c r="E15" s="27" t="str"/>
      <x:c r="F15" s="27" t="str"/>
    </x:row>
    <x:row r="16">
      <x:c r="A16" s="27" t="str">
        <x:v>API/Data</x:v>
      </x:c>
      <x:c r="B16" s="27" t="str">
        <x:v>Key API flows validated</x:v>
      </x:c>
      <x:c r="C16" s="27" t="str"/>
      <x:c r="D16" s="27" t="str"/>
      <x:c r="E16" s="27" t="str"/>
      <x:c r="F16" s="27" t="str"/>
    </x:row>
    <x:row r="17">
      <x:c r="A17" s="27" t="str">
        <x:v>API/Data</x:v>
      </x:c>
      <x:c r="B17" s="27" t="str">
        <x:v>Reports/data outputs validated</x:v>
      </x:c>
      <x:c r="C17" s="27" t="str"/>
      <x:c r="D17" s="27" t="str"/>
      <x:c r="E17" s="27" t="str"/>
      <x:c r="F17" s="27" t="str"/>
    </x:row>
    <x:row r="18">
      <x:c r="A18" s="27" t="str">
        <x:v>Mobile/Web</x:v>
      </x:c>
      <x:c r="B18" s="27" t="str">
        <x:v>Supported browsers/devices covered</x:v>
      </x:c>
      <x:c r="C18" s="27" t="str"/>
      <x:c r="D18" s="27" t="str"/>
      <x:c r="E18" s="27" t="str"/>
      <x:c r="F18" s="27" t="str"/>
    </x:row>
    <x:row r="19">
      <x:c r="A19" s="27" t="str">
        <x:v>Config</x:v>
      </x:c>
      <x:c r="B19" s="27" t="str">
        <x:v>Feature flags/configuration verified</x:v>
      </x:c>
      <x:c r="C19" s="27" t="str"/>
      <x:c r="D19" s="27" t="str"/>
      <x:c r="E19" s="27" t="str"/>
      <x:c r="F19" s="27" t="str"/>
    </x:row>
    <x:row r="20">
      <x:c r="A20" s="27" t="str">
        <x:v>Security</x:v>
      </x:c>
      <x:c r="B20" s="27" t="str">
        <x:v>Auth/permissions/payment-sensitive areas reviewed</x:v>
      </x:c>
      <x:c r="C20" s="27" t="str"/>
      <x:c r="D20" s="27" t="str"/>
      <x:c r="E20" s="27" t="str"/>
      <x:c r="F20" s="27" t="str"/>
    </x:row>
    <x:row r="21">
      <x:c r="A21" s="27" t="str">
        <x:v>Performance</x:v>
      </x:c>
      <x:c r="B21" s="27" t="str">
        <x:v>Known performance concerns reviewed</x:v>
      </x:c>
      <x:c r="C21" s="27" t="str"/>
      <x:c r="D21" s="27" t="str"/>
      <x:c r="E21" s="27" t="str"/>
      <x:c r="F21" s="27" t="str"/>
    </x:row>
    <x:row r="22">
      <x:c r="A22" s="27" t="str">
        <x:v>Production</x:v>
      </x:c>
      <x:c r="B22" s="27" t="str">
        <x:v>Deployment steps are clear</x:v>
      </x:c>
      <x:c r="C22" s="27" t="str"/>
      <x:c r="D22" s="27" t="str"/>
      <x:c r="E22" s="27" t="str"/>
      <x:c r="F22" s="27" t="str"/>
    </x:row>
    <x:row r="23">
      <x:c r="A23" s="27" t="str">
        <x:v>Production</x:v>
      </x:c>
      <x:c r="B23" s="27" t="str">
        <x:v>Monitoring/alerts are ready</x:v>
      </x:c>
      <x:c r="C23" s="27" t="str"/>
      <x:c r="D23" s="27" t="str"/>
      <x:c r="E23" s="27" t="str"/>
      <x:c r="F23" s="27" t="str"/>
    </x:row>
    <x:row r="24">
      <x:c r="A24" s="27" t="str">
        <x:v>Rollback</x:v>
      </x:c>
      <x:c r="B24" s="27" t="str">
        <x:v>Rollback plan exists and owner is named</x:v>
      </x:c>
      <x:c r="C24" s="27" t="str"/>
      <x:c r="D24" s="27" t="str"/>
      <x:c r="E24" s="27" t="str"/>
      <x:c r="F24" s="27" t="str"/>
    </x:row>
    <x:row r="25">
      <x:c r="A25" s="27" t="str">
        <x:v>Support</x:v>
      </x:c>
      <x:c r="B25" s="27" t="str">
        <x:v>Support/CS known-issues brief prepared</x:v>
      </x:c>
      <x:c r="C25" s="27" t="str"/>
      <x:c r="D25" s="27" t="str"/>
      <x:c r="E25" s="27" t="str"/>
      <x:c r="F25" s="27" t="str"/>
    </x:row>
    <x:row r="26">
      <x:c r="A26" s="27" t="str">
        <x:v>Approval</x:v>
      </x:c>
      <x:c r="B26" s="27" t="str">
        <x:v>QA recommendation documented</x:v>
      </x:c>
      <x:c r="C26" s="27" t="str"/>
      <x:c r="D26" s="27" t="str"/>
      <x:c r="E26" s="27" t="str"/>
      <x:c r="F26" s="27" t="str"/>
    </x:row>
    <x:row r="27">
      <x:c r="A27" s="27" t="str">
        <x:v>Approval</x:v>
      </x:c>
      <x:c r="B27" s="27" t="str">
        <x:v>Product/R&amp;D decision documented</x:v>
      </x:c>
      <x:c r="C27" s="27" t="str"/>
      <x:c r="D27" s="27" t="str"/>
      <x:c r="E27" s="27" t="str"/>
      <x:c r="F27" s="27" t="str"/>
    </x:row>
    <x:row r="30">
      <x:c r="A30" s="19" t="str">
        <x:v>Readiness %</x:v>
      </x:c>
      <x:c r="B30" t="n">
        <x:f>IFERROR(ROUND(AVERAGE(C4:C27)/3*100,0),0)</x:f>
        <x:v>0</x:v>
      </x:c>
    </x:row>
    <x:row r="31">
      <x:c r="A31" s="19" t="str">
        <x:v>Recommendation</x:v>
      </x:c>
      <x:c r="B31" t="str">
        <x:f>IF(B30&gt;=90,"Go",IF(B30&gt;=75,"Conditional Go","No-Go Recommended"))</x:f>
        <x:v>No-Go Recommended</x:v>
      </x:c>
    </x:row>
    <x:row r="32">
      <x:c r="A32" s="19" t="str">
        <x:v>Override Needed?</x:v>
      </x:c>
      <x:c r="B32" t="str">
        <x:v>Check blocker bugs and high risks</x:v>
      </x:c>
    </x:row>
  </x:sheetData>
  <x:mergeCells>
    <x:mergeCell ref="A1:F1"/>
  </x:mergeCells>
  <x:dataValidations count="1">
    <x:dataValidation type="list" sqref="C4:C27">
      <x:formula1>"0,1,2,3"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3" t="str">
        <x:v>Release Risk Register</x:v>
      </x:c>
      <x:c r="B1" s="13" t="str">
        <x:v>Release Risk Register</x:v>
      </x:c>
      <x:c r="C1" s="13" t="str">
        <x:v>Release Risk Register</x:v>
      </x:c>
      <x:c r="D1" s="13" t="str">
        <x:v>Release Risk Register</x:v>
      </x:c>
      <x:c r="E1" s="13" t="str">
        <x:v>Release Risk Register</x:v>
      </x:c>
      <x:c r="F1" s="13" t="str">
        <x:v>Release Risk Register</x:v>
      </x:c>
      <x:c r="G1" s="13" t="str">
        <x:v>Release Risk Register</x:v>
      </x:c>
      <x:c r="H1" s="13" t="str">
        <x:v>Release Risk Register</x:v>
      </x:c>
      <x:c r="I1" s="13" t="str">
        <x:v>Release Risk Register</x:v>
      </x:c>
      <x:c r="J1" s="13" t="str">
        <x:v>Release Risk Register</x:v>
      </x:c>
      <x:c r="K1" s="13" t="str">
        <x:v>Release Risk Register</x:v>
      </x:c>
    </x:row>
    <x:row r="3">
      <x:c r="A3" s="26" t="str">
        <x:v>Risk ID</x:v>
      </x:c>
      <x:c r="B3" s="26" t="str">
        <x:v>Area</x:v>
      </x:c>
      <x:c r="C3" s="26" t="str">
        <x:v>Description</x:v>
      </x:c>
      <x:c r="D3" s="26" t="str">
        <x:v>Probability</x:v>
      </x:c>
      <x:c r="E3" s="26" t="str">
        <x:v>Impact</x:v>
      </x:c>
      <x:c r="F3" s="26" t="str">
        <x:v>Risk Level</x:v>
      </x:c>
      <x:c r="G3" s="26" t="str">
        <x:v>Owner</x:v>
      </x:c>
      <x:c r="H3" s="26" t="str">
        <x:v>Mitigation</x:v>
      </x:c>
      <x:c r="I3" s="26" t="str">
        <x:v>Decision</x:v>
      </x:c>
      <x:c r="J3" s="26" t="str">
        <x:v>Status</x:v>
      </x:c>
      <x:c r="K3" s="26" t="str">
        <x:v>Last Update</x:v>
      </x:c>
    </x:row>
    <x:row r="4">
      <x:c r="A4" s="27" t="str"/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  <x:c r="J4" s="27" t="str"/>
      <x:c r="K4" s="28" t="str"/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8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8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8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8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8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8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8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8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8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8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8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8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8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8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8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8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8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8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8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8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8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8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8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8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8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8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8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8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8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8" t="str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8" t="str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8" t="str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8" t="str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8" t="str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8" t="str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8" t="str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8" t="str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8" t="str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8" t="str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8" t="str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8" t="str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8" t="str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8" t="str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8" t="str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8" t="str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8" t="str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8" t="str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8" t="str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8" t="str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8" t="str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8" t="str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8" t="str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8" t="str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8" t="str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8" t="str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8" t="str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8" t="str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8" t="str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8" t="str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8" t="str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8" t="str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8" t="str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8" t="str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8" t="str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8" t="str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8" t="str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8" t="str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8" t="str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8" t="str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8" t="str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8" t="str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8" t="str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8" t="str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8" t="str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8" t="str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8" t="str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8" t="str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8" t="str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8" t="str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8" t="str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8" t="str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8" t="str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8" t="str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8" t="str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8" t="str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8" t="str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8" t="str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8" t="str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8" t="str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8" t="str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8" t="str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8" t="str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8" t="str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8" t="str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8" t="str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8" t="str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8" t="str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8" t="str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8" t="str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8" t="str"/>
    </x:row>
  </x:sheetData>
  <x:mergeCells>
    <x:mergeCell ref="A1:K1"/>
  </x:mergeCells>
  <x:dataValidations count="5">
    <x:dataValidation type="list" sqref="D4:D104">
      <x:formula1>"Low,Medium,High"</x:formula1>
    </x:dataValidation>
    <x:dataValidation type="list" sqref="E4:E104">
      <x:formula1>"Low,Medium,High"</x:formula1>
    </x:dataValidation>
    <x:dataValidation type="list" sqref="F4:F104">
      <x:formula1>"Low,Medium,High,Critical"</x:formula1>
    </x:dataValidation>
    <x:dataValidation type="list" sqref="I4:I104">
      <x:formula1>Lists!$E$2:$E$5</x:formula1>
    </x:dataValidation>
    <x:dataValidation type="list" sqref="J4:J104">
      <x:formula1>"Open,Mitigated,Accepted,Closed"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>
      <x:c r="A1" s="13" t="str">
        <x:v>Bug Triage Matrix</x:v>
      </x:c>
      <x:c r="B1" s="13" t="str">
        <x:v>Bug Triage Matrix</x:v>
      </x:c>
      <x:c r="C1" s="13" t="str">
        <x:v>Bug Triage Matrix</x:v>
      </x:c>
      <x:c r="D1" s="13" t="str">
        <x:v>Bug Triage Matrix</x:v>
      </x:c>
      <x:c r="E1" s="13" t="str">
        <x:v>Bug Triage Matrix</x:v>
      </x:c>
      <x:c r="F1" s="13" t="str">
        <x:v>Bug Triage Matrix</x:v>
      </x:c>
      <x:c r="G1" s="13" t="str">
        <x:v>Bug Triage Matrix</x:v>
      </x:c>
      <x:c r="H1" s="13" t="str">
        <x:v>Bug Triage Matrix</x:v>
      </x:c>
      <x:c r="I1" s="13" t="str">
        <x:v>Bug Triage Matrix</x:v>
      </x:c>
      <x:c r="J1" s="13" t="str">
        <x:v>Bug Triage Matrix</x:v>
      </x:c>
      <x:c r="K1" s="13" t="str">
        <x:v>Bug Triage Matrix</x:v>
      </x:c>
      <x:c r="L1" s="13" t="str">
        <x:v>Bug Triage Matrix</x:v>
      </x:c>
      <x:c r="M1" s="13" t="str">
        <x:v>Bug Triage Matrix</x:v>
      </x:c>
    </x:row>
    <x:row r="3">
      <x:c r="A3" s="26" t="str">
        <x:v>Bug ID</x:v>
      </x:c>
      <x:c r="B3" s="26" t="str">
        <x:v>Title</x:v>
      </x:c>
      <x:c r="C3" s="26" t="str">
        <x:v>Severity</x:v>
      </x:c>
      <x:c r="D3" s="26" t="str">
        <x:v>Priority</x:v>
      </x:c>
      <x:c r="E3" s="26" t="str">
        <x:v>Area</x:v>
      </x:c>
      <x:c r="F3" s="26" t="str">
        <x:v>Environment</x:v>
      </x:c>
      <x:c r="G3" s="26" t="str">
        <x:v>Customer Impact</x:v>
      </x:c>
      <x:c r="H3" s="26" t="str">
        <x:v>Workaround</x:v>
      </x:c>
      <x:c r="I3" s="26" t="str">
        <x:v>Owner</x:v>
      </x:c>
      <x:c r="J3" s="26" t="str">
        <x:v>Fix Version</x:v>
      </x:c>
      <x:c r="K3" s="26" t="str">
        <x:v>Release Blocker</x:v>
      </x:c>
      <x:c r="L3" s="26" t="str">
        <x:v>Decision</x:v>
      </x:c>
      <x:c r="M3" s="26" t="str">
        <x:v>Notes</x:v>
      </x:c>
    </x:row>
    <x:row r="4">
      <x:c r="A4" s="27" t="str"/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  <x:c r="J4" s="27" t="str"/>
      <x:c r="K4" s="27" t="str"/>
      <x:c r="L4" s="27" t="str"/>
      <x:c r="M4" s="27" t="str"/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/>
      <x:c r="M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7" t="str"/>
      <x:c r="L6" s="27" t="str"/>
      <x:c r="M6" s="27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/>
      <x:c r="M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  <x:c r="M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/>
      <x:c r="M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M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/>
      <x:c r="M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M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/>
      <x:c r="M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/>
      <x:c r="M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  <x:c r="M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/>
      <x:c r="M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/>
      <x:c r="M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/>
      <x:c r="M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  <x:c r="M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  <x:c r="M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  <x:c r="M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  <x:c r="M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  <x:c r="M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/>
      <x:c r="M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/>
      <x:c r="M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/>
      <x:c r="M31" s="27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  <x:c r="M32" s="27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/>
      <x:c r="M33" s="27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/>
      <x:c r="M34" s="27" t="str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  <x:c r="M35" s="27" t="str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/>
      <x:c r="M36" s="27" t="str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/>
      <x:c r="M38" s="27" t="str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/>
      <x:c r="M39" s="27" t="str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/>
      <x:c r="M40" s="27" t="str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/>
      <x:c r="L41" s="27" t="str"/>
      <x:c r="M41" s="27" t="str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 t="str"/>
      <x:c r="M42" s="27" t="str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/>
      <x:c r="L43" s="27" t="str"/>
      <x:c r="M43" s="27" t="str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 t="str"/>
      <x:c r="L44" s="27" t="str"/>
      <x:c r="M44" s="27" t="str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 t="str"/>
      <x:c r="L45" s="27" t="str"/>
      <x:c r="M45" s="27" t="str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 t="str"/>
      <x:c r="L46" s="27" t="str"/>
      <x:c r="M46" s="27" t="str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/>
      <x:c r="L47" s="27" t="str"/>
      <x:c r="M47" s="27" t="str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 t="str"/>
      <x:c r="L48" s="27" t="str"/>
      <x:c r="M48" s="27" t="str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 t="str"/>
      <x:c r="L49" s="27" t="str"/>
      <x:c r="M49" s="27" t="str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 t="str"/>
      <x:c r="L50" s="27" t="str"/>
      <x:c r="M50" s="27" t="str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 t="str"/>
      <x:c r="L51" s="27" t="str"/>
      <x:c r="M51" s="27" t="str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 t="str"/>
      <x:c r="L52" s="27" t="str"/>
      <x:c r="M52" s="27" t="str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 t="str"/>
      <x:c r="L53" s="27" t="str"/>
      <x:c r="M53" s="27" t="str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 t="str"/>
      <x:c r="L54" s="27" t="str"/>
      <x:c r="M54" s="27" t="str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 t="str"/>
      <x:c r="L55" s="27" t="str"/>
      <x:c r="M55" s="27" t="str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 t="str"/>
      <x:c r="L56" s="27" t="str"/>
      <x:c r="M56" s="27" t="str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 t="str"/>
      <x:c r="L57" s="27" t="str"/>
      <x:c r="M57" s="27" t="str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 t="str"/>
      <x:c r="L58" s="27" t="str"/>
      <x:c r="M58" s="27" t="str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 t="str"/>
      <x:c r="L59" s="27" t="str"/>
      <x:c r="M59" s="27" t="str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 t="str"/>
      <x:c r="L60" s="27" t="str"/>
      <x:c r="M60" s="27" t="str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 t="str"/>
      <x:c r="L61" s="27" t="str"/>
      <x:c r="M61" s="27" t="str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 t="str"/>
      <x:c r="L62" s="27" t="str"/>
      <x:c r="M62" s="27" t="str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 t="str"/>
      <x:c r="L63" s="27" t="str"/>
      <x:c r="M63" s="27" t="str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 t="str"/>
      <x:c r="L64" s="27" t="str"/>
      <x:c r="M64" s="27" t="str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 t="str"/>
      <x:c r="L65" s="27" t="str"/>
      <x:c r="M65" s="27" t="str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 t="str"/>
      <x:c r="L66" s="27" t="str"/>
      <x:c r="M66" s="27" t="str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 t="str"/>
      <x:c r="L67" s="27" t="str"/>
      <x:c r="M67" s="27" t="str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 t="str"/>
      <x:c r="L68" s="27" t="str"/>
      <x:c r="M68" s="27" t="str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 t="str"/>
      <x:c r="L69" s="27" t="str"/>
      <x:c r="M69" s="27" t="str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 t="str"/>
      <x:c r="L70" s="27" t="str"/>
      <x:c r="M70" s="27" t="str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 t="str"/>
      <x:c r="L71" s="27" t="str"/>
      <x:c r="M71" s="27" t="str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 t="str"/>
      <x:c r="L72" s="27" t="str"/>
      <x:c r="M72" s="27" t="str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 t="str"/>
      <x:c r="L73" s="27" t="str"/>
      <x:c r="M73" s="27" t="str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 t="str"/>
      <x:c r="L74" s="27" t="str"/>
      <x:c r="M74" s="27" t="str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 t="str"/>
      <x:c r="L75" s="27" t="str"/>
      <x:c r="M75" s="27" t="str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 t="str"/>
      <x:c r="L76" s="27" t="str"/>
      <x:c r="M76" s="27" t="str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 t="str"/>
      <x:c r="L77" s="27" t="str"/>
      <x:c r="M77" s="27" t="str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 t="str"/>
      <x:c r="L78" s="27" t="str"/>
      <x:c r="M78" s="27" t="str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 t="str"/>
      <x:c r="L79" s="27" t="str"/>
      <x:c r="M79" s="27" t="str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 t="str"/>
      <x:c r="L80" s="27" t="str"/>
      <x:c r="M80" s="27" t="str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 t="str"/>
      <x:c r="L81" s="27" t="str"/>
      <x:c r="M81" s="27" t="str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 t="str"/>
      <x:c r="L82" s="27" t="str"/>
      <x:c r="M82" s="27" t="str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 t="str"/>
      <x:c r="L83" s="27" t="str"/>
      <x:c r="M83" s="27" t="str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 t="str"/>
      <x:c r="L84" s="27" t="str"/>
      <x:c r="M84" s="27" t="str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 t="str"/>
      <x:c r="L85" s="27" t="str"/>
      <x:c r="M85" s="27" t="str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 t="str"/>
      <x:c r="L86" s="27" t="str"/>
      <x:c r="M86" s="27" t="str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 t="str"/>
      <x:c r="L87" s="27" t="str"/>
      <x:c r="M87" s="27" t="str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 t="str"/>
      <x:c r="L88" s="27" t="str"/>
      <x:c r="M88" s="27" t="str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 t="str"/>
      <x:c r="L89" s="27" t="str"/>
      <x:c r="M89" s="27" t="str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 t="str"/>
      <x:c r="L90" s="27" t="str"/>
      <x:c r="M90" s="27" t="str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 t="str"/>
      <x:c r="L91" s="27" t="str"/>
      <x:c r="M91" s="27" t="str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 t="str"/>
      <x:c r="L92" s="27" t="str"/>
      <x:c r="M92" s="27" t="str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 t="str"/>
      <x:c r="L93" s="27" t="str"/>
      <x:c r="M93" s="27" t="str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 t="str"/>
      <x:c r="L94" s="27" t="str"/>
      <x:c r="M94" s="27" t="str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 t="str"/>
      <x:c r="L95" s="27" t="str"/>
      <x:c r="M95" s="27" t="str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 t="str"/>
      <x:c r="L96" s="27" t="str"/>
      <x:c r="M96" s="27" t="str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 t="str"/>
      <x:c r="L97" s="27" t="str"/>
      <x:c r="M97" s="27" t="str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 t="str"/>
      <x:c r="L98" s="27" t="str"/>
      <x:c r="M98" s="27" t="str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 t="str"/>
      <x:c r="L99" s="27" t="str"/>
      <x:c r="M99" s="27" t="str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 t="str"/>
      <x:c r="L100" s="27" t="str"/>
      <x:c r="M100" s="27" t="str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 t="str"/>
      <x:c r="L101" s="27" t="str"/>
      <x:c r="M101" s="27" t="str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 t="str"/>
      <x:c r="L102" s="27" t="str"/>
      <x:c r="M102" s="27" t="str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 t="str"/>
      <x:c r="L103" s="27" t="str"/>
      <x:c r="M103" s="27" t="str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7" t="str"/>
      <x:c r="L104" s="27" t="str"/>
      <x:c r="M104" s="27" t="str"/>
    </x:row>
  </x:sheetData>
  <x:mergeCells>
    <x:mergeCell ref="A1:M1"/>
  </x:mergeCells>
  <x:dataValidations count="5">
    <x:dataValidation type="list" sqref="C4:C104">
      <x:formula1>Lists!$C$2:$C$6</x:formula1>
    </x:dataValidation>
    <x:dataValidation type="list" sqref="D4:D104">
      <x:formula1>Lists!$D$2:$D$6</x:formula1>
    </x:dataValidation>
    <x:dataValidation type="list" sqref="H4:H104">
      <x:formula1>Lists!$F$2:$F$4</x:formula1>
    </x:dataValidation>
    <x:dataValidation type="list" sqref="K4:K104">
      <x:formula1>"Yes,No"</x:formula1>
    </x:dataValidation>
    <x:dataValidation type="list" sqref="L4:L104">
      <x:formula1>"Fix,Accept Risk,Defer,Investigate"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</x:cols>
  <x:sheetData>
    <x:row r="1">
      <x:c r="A1" s="13" t="str">
        <x:v>Regression Scope Matrix</x:v>
      </x:c>
      <x:c r="B1" s="13" t="str">
        <x:v>Regression Scope Matrix</x:v>
      </x:c>
      <x:c r="C1" s="13" t="str">
        <x:v>Regression Scope Matrix</x:v>
      </x:c>
      <x:c r="D1" s="13" t="str">
        <x:v>Regression Scope Matrix</x:v>
      </x:c>
      <x:c r="E1" s="13" t="str">
        <x:v>Regression Scope Matrix</x:v>
      </x:c>
      <x:c r="F1" s="13" t="str">
        <x:v>Regression Scope Matrix</x:v>
      </x:c>
      <x:c r="G1" s="13" t="str">
        <x:v>Regression Scope Matrix</x:v>
      </x:c>
      <x:c r="H1" s="13" t="str">
        <x:v>Regression Scope Matrix</x:v>
      </x:c>
      <x:c r="I1" s="13" t="str">
        <x:v>Regression Scope Matrix</x:v>
      </x:c>
    </x:row>
    <x:row r="3">
      <x:c r="A3" s="26" t="str">
        <x:v>Area</x:v>
      </x:c>
      <x:c r="B3" s="26" t="str">
        <x:v>Flow/Test</x:v>
      </x:c>
      <x:c r="C3" s="26" t="str">
        <x:v>Risk</x:v>
      </x:c>
      <x:c r="D3" s="26" t="str">
        <x:v>Test Type</x:v>
      </x:c>
      <x:c r="E3" s="26" t="str">
        <x:v>Required?</x:v>
      </x:c>
      <x:c r="F3" s="26" t="str">
        <x:v>Owner</x:v>
      </x:c>
      <x:c r="G3" s="26" t="str">
        <x:v>Status</x:v>
      </x:c>
      <x:c r="H3" s="26" t="str">
        <x:v>Evidence</x:v>
      </x:c>
      <x:c r="I3" s="26" t="str">
        <x:v>Notes</x:v>
      </x:c>
    </x:row>
    <x:row r="4">
      <x:c r="A4" s="27" t="str">
        <x:v>Login</x:v>
      </x:c>
      <x:c r="B4" s="27" t="str">
        <x:v>User login/logout</x:v>
      </x:c>
      <x:c r="C4" s="27" t="str">
        <x:v>High</x:v>
      </x:c>
      <x:c r="D4" s="27" t="str">
        <x:v>Smoke</x:v>
      </x:c>
      <x:c r="E4" s="27" t="str">
        <x:v>Yes</x:v>
      </x:c>
      <x:c r="F4" s="27" t="str"/>
      <x:c r="G4" s="27" t="str"/>
      <x:c r="H4" s="27" t="str"/>
      <x:c r="I4" s="27" t="str"/>
    </x:row>
    <x:row r="5">
      <x:c r="A5" s="27" t="str">
        <x:v>Payment</x:v>
      </x:c>
      <x:c r="B5" s="27" t="str">
        <x:v>Payment authorization</x:v>
      </x:c>
      <x:c r="C5" s="27" t="str">
        <x:v>High</x:v>
      </x:c>
      <x:c r="D5" s="27" t="str">
        <x:v>Regression</x:v>
      </x:c>
      <x:c r="E5" s="27" t="str">
        <x:v>Yes</x:v>
      </x:c>
      <x:c r="F5" s="27" t="str"/>
      <x:c r="G5" s="27" t="str"/>
      <x:c r="H5" s="27" t="str"/>
      <x:c r="I5" s="27" t="str"/>
    </x:row>
    <x:row r="6">
      <x:c r="A6" s="27" t="str">
        <x:v>API</x:v>
      </x:c>
      <x:c r="B6" s="27" t="str">
        <x:v>Main API contract</x:v>
      </x:c>
      <x:c r="C6" s="27" t="str">
        <x:v>High</x:v>
      </x:c>
      <x:c r="D6" s="27" t="str">
        <x:v>API/Automation</x:v>
      </x:c>
      <x:c r="E6" s="27" t="str">
        <x:v>Yes</x:v>
      </x:c>
      <x:c r="F6" s="27" t="str"/>
      <x:c r="G6" s="27" t="str"/>
      <x:c r="H6" s="27" t="str"/>
      <x:c r="I6" s="27" t="str"/>
    </x:row>
    <x:row r="7">
      <x:c r="A7" s="27" t="str">
        <x:v>Reports</x:v>
      </x:c>
      <x:c r="B7" s="27" t="str">
        <x:v>Daily report total</x:v>
      </x:c>
      <x:c r="C7" s="27" t="str">
        <x:v>Medium</x:v>
      </x:c>
      <x:c r="D7" s="27" t="str">
        <x:v>SQL validation</x:v>
      </x:c>
      <x:c r="E7" s="27" t="str">
        <x:v>Yes</x:v>
      </x:c>
      <x:c r="F7" s="27" t="str"/>
      <x:c r="G7" s="27" t="str"/>
      <x:c r="H7" s="27" t="str"/>
      <x:c r="I7" s="27" t="str"/>
    </x:row>
    <x:row r="8">
      <x:c r="A8" s="27" t="str">
        <x:v>Mobile</x:v>
      </x:c>
      <x:c r="B8" s="27" t="str">
        <x:v>Push notification</x:v>
      </x:c>
      <x:c r="C8" s="27" t="str">
        <x:v>Medium</x:v>
      </x:c>
      <x:c r="D8" s="27" t="str">
        <x:v>Sanity</x:v>
      </x:c>
      <x:c r="E8" s="27" t="str">
        <x:v>Yes</x:v>
      </x:c>
      <x:c r="F8" s="27" t="str"/>
      <x:c r="G8" s="27" t="str"/>
      <x:c r="H8" s="27" t="str"/>
      <x:c r="I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</x:row>
  </x:sheetData>
  <x:mergeCells>
    <x:mergeCell ref="A1:I1"/>
  </x:mergeCells>
  <x:dataValidations count="3">
    <x:dataValidation type="list" sqref="C4:C104">
      <x:formula1>"Low,Medium,High"</x:formula1>
    </x:dataValidation>
    <x:dataValidation type="list" sqref="E4:E104">
      <x:formula1>"Yes,No"</x:formula1>
    </x:dataValidation>
    <x:dataValidation type="list" sqref="G4:G104">
      <x:formula1>Lists!$A$2:$A$9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2" hidden="0" customWidth="1"/>
    <x:col min="4" max="4" width="22" hidden="0" customWidth="1"/>
    <x:col min="5" max="5" width="34" hidden="0" customWidth="1"/>
  </x:cols>
  <x:sheetData>
    <x:row r="1">
      <x:c r="A1" s="13" t="str">
        <x:v>Production Deployment Checklist</x:v>
      </x:c>
      <x:c r="B1" s="13" t="str">
        <x:v>Production Deployment Checklist</x:v>
      </x:c>
      <x:c r="C1" s="13" t="str">
        <x:v>Production Deployment Checklist</x:v>
      </x:c>
      <x:c r="D1" s="13" t="str">
        <x:v>Production Deployment Checklist</x:v>
      </x:c>
      <x:c r="E1" s="13" t="str">
        <x:v>Production Deployment Checklist</x:v>
      </x:c>
    </x:row>
    <x:row r="3">
      <x:c r="A3" s="26" t="str">
        <x:v>Area</x:v>
      </x:c>
      <x:c r="B3" s="26" t="str">
        <x:v>Check</x:v>
      </x:c>
      <x:c r="C3" s="26" t="str">
        <x:v>Owner</x:v>
      </x:c>
      <x:c r="D3" s="26" t="str">
        <x:v>Status</x:v>
      </x:c>
      <x:c r="E3" s="26" t="str">
        <x:v>Evidence/Notes</x:v>
      </x:c>
    </x:row>
    <x:row r="4">
      <x:c r="A4" s="27" t="str">
        <x:v>Build</x:v>
      </x:c>
      <x:c r="B4" s="27" t="str">
        <x:v>Correct version/artifact ready</x:v>
      </x:c>
      <x:c r="C4" s="27" t="str"/>
      <x:c r="D4" s="27" t="str"/>
      <x:c r="E4" s="27" t="str"/>
    </x:row>
    <x:row r="5">
      <x:c r="A5" s="27" t="str">
        <x:v>Build</x:v>
      </x:c>
      <x:c r="B5" s="27" t="str">
        <x:v>Release notes prepared</x:v>
      </x:c>
      <x:c r="C5" s="27" t="str"/>
      <x:c r="D5" s="27" t="str"/>
      <x:c r="E5" s="27" t="str"/>
    </x:row>
    <x:row r="6">
      <x:c r="A6" s="27" t="str">
        <x:v>Config</x:v>
      </x:c>
      <x:c r="B6" s="27" t="str">
        <x:v>Feature flags reviewed</x:v>
      </x:c>
      <x:c r="C6" s="27" t="str"/>
      <x:c r="D6" s="27" t="str"/>
      <x:c r="E6" s="27" t="str"/>
    </x:row>
    <x:row r="7">
      <x:c r="A7" s="27" t="str">
        <x:v>Config</x:v>
      </x:c>
      <x:c r="B7" s="27" t="str">
        <x:v>Tenant/customer-specific config reviewed</x:v>
      </x:c>
      <x:c r="C7" s="27" t="str"/>
      <x:c r="D7" s="27" t="str"/>
      <x:c r="E7" s="27" t="str"/>
    </x:row>
    <x:row r="8">
      <x:c r="A8" s="27" t="str">
        <x:v>Database</x:v>
      </x:c>
      <x:c r="B8" s="27" t="str">
        <x:v>Migration tested</x:v>
      </x:c>
      <x:c r="C8" s="27" t="str"/>
      <x:c r="D8" s="27" t="str"/>
      <x:c r="E8" s="27" t="str"/>
    </x:row>
    <x:row r="9">
      <x:c r="A9" s="27" t="str">
        <x:v>Database</x:v>
      </x:c>
      <x:c r="B9" s="27" t="str">
        <x:v>Backup/rollback script ready</x:v>
      </x:c>
      <x:c r="C9" s="27" t="str"/>
      <x:c r="D9" s="27" t="str"/>
      <x:c r="E9" s="27" t="str"/>
    </x:row>
    <x:row r="10">
      <x:c r="A10" s="27" t="str">
        <x:v>API</x:v>
      </x:c>
      <x:c r="B10" s="27" t="str">
        <x:v>Critical endpoints validated</x:v>
      </x:c>
      <x:c r="C10" s="27" t="str"/>
      <x:c r="D10" s="27" t="str"/>
      <x:c r="E10" s="27" t="str"/>
    </x:row>
    <x:row r="11">
      <x:c r="A11" s="27" t="str">
        <x:v>Monitoring</x:v>
      </x:c>
      <x:c r="B11" s="27" t="str">
        <x:v>Dashboards ready</x:v>
      </x:c>
      <x:c r="C11" s="27" t="str"/>
      <x:c r="D11" s="27" t="str"/>
      <x:c r="E11" s="27" t="str"/>
    </x:row>
    <x:row r="12">
      <x:c r="A12" s="27" t="str">
        <x:v>Monitoring</x:v>
      </x:c>
      <x:c r="B12" s="27" t="str">
        <x:v>Alerts configured</x:v>
      </x:c>
      <x:c r="C12" s="27" t="str"/>
      <x:c r="D12" s="27" t="str"/>
      <x:c r="E12" s="27" t="str"/>
    </x:row>
    <x:row r="13">
      <x:c r="A13" s="27" t="str">
        <x:v>Logs</x:v>
      </x:c>
      <x:c r="B13" s="27" t="str">
        <x:v>Error logs accessible</x:v>
      </x:c>
      <x:c r="C13" s="27" t="str"/>
      <x:c r="D13" s="27" t="str"/>
      <x:c r="E13" s="27" t="str"/>
    </x:row>
    <x:row r="14">
      <x:c r="A14" s="27" t="str">
        <x:v>Support</x:v>
      </x:c>
      <x:c r="B14" s="27" t="str">
        <x:v>Known issues shared</x:v>
      </x:c>
      <x:c r="C14" s="27" t="str"/>
      <x:c r="D14" s="27" t="str"/>
      <x:c r="E14" s="27" t="str"/>
    </x:row>
    <x:row r="15">
      <x:c r="A15" s="27" t="str">
        <x:v>Rollback</x:v>
      </x:c>
      <x:c r="B15" s="27" t="str">
        <x:v>Rollback owner named</x:v>
      </x:c>
      <x:c r="C15" s="27" t="str"/>
      <x:c r="D15" s="27" t="str"/>
      <x:c r="E15" s="27" t="str"/>
    </x:row>
    <x:row r="16">
      <x:c r="A16" s="27" t="str">
        <x:v>Rollback</x:v>
      </x:c>
      <x:c r="B16" s="27" t="str">
        <x:v>Rollback trigger defined</x:v>
      </x:c>
      <x:c r="C16" s="27" t="str"/>
      <x:c r="D16" s="27" t="str"/>
      <x:c r="E16" s="27" t="str"/>
    </x:row>
    <x:row r="17">
      <x:c r="A17" s="27" t="str">
        <x:v>Post-deploy</x:v>
      </x:c>
      <x:c r="B17" s="27" t="str">
        <x:v>Post-deploy sanity owner assigned</x:v>
      </x:c>
      <x:c r="C17" s="27" t="str"/>
      <x:c r="D17" s="27" t="str"/>
      <x:c r="E17" s="27" t="str"/>
    </x:row>
    <x:row r="18">
      <x:c r="A18" s="27"/>
      <x:c r="B18" s="27"/>
      <x:c r="C18" s="27"/>
      <x:c r="D18" s="27"/>
      <x:c r="E18" s="27"/>
    </x:row>
    <x:row r="19">
      <x:c r="A19" s="27"/>
      <x:c r="B19" s="27"/>
      <x:c r="C19" s="27"/>
      <x:c r="D19" s="27"/>
      <x:c r="E19" s="27"/>
    </x:row>
    <x:row r="20">
      <x:c r="A20" s="27"/>
      <x:c r="B20" s="27"/>
      <x:c r="C20" s="27"/>
      <x:c r="D20" s="27"/>
      <x:c r="E20" s="27"/>
    </x:row>
    <x:row r="21">
      <x:c r="A21" s="27"/>
      <x:c r="B21" s="27"/>
      <x:c r="C21" s="27"/>
      <x:c r="D21" s="27"/>
      <x:c r="E21" s="27"/>
    </x:row>
    <x:row r="22">
      <x:c r="A22" s="27"/>
      <x:c r="B22" s="27"/>
      <x:c r="C22" s="27"/>
      <x:c r="D22" s="27"/>
      <x:c r="E22" s="27"/>
    </x:row>
    <x:row r="23">
      <x:c r="A23" s="27"/>
      <x:c r="B23" s="27"/>
      <x:c r="C23" s="27"/>
      <x:c r="D23" s="27"/>
      <x:c r="E23" s="27"/>
    </x:row>
    <x:row r="24">
      <x:c r="A24" s="27"/>
      <x:c r="B24" s="27"/>
      <x:c r="C24" s="27"/>
      <x:c r="D24" s="27"/>
      <x:c r="E24" s="27"/>
    </x:row>
    <x:row r="25">
      <x:c r="A25" s="27"/>
      <x:c r="B25" s="27"/>
      <x:c r="C25" s="27"/>
      <x:c r="D25" s="27"/>
      <x:c r="E25" s="27"/>
    </x:row>
    <x:row r="26">
      <x:c r="A26" s="27"/>
      <x:c r="B26" s="27"/>
      <x:c r="C26" s="27"/>
      <x:c r="D26" s="27"/>
      <x:c r="E26" s="27"/>
    </x:row>
    <x:row r="27">
      <x:c r="A27" s="27"/>
      <x:c r="B27" s="27"/>
      <x:c r="C27" s="27"/>
      <x:c r="D27" s="27"/>
      <x:c r="E27" s="27"/>
    </x:row>
    <x:row r="28">
      <x:c r="A28" s="27"/>
      <x:c r="B28" s="27"/>
      <x:c r="C28" s="27"/>
      <x:c r="D28" s="27"/>
      <x:c r="E28" s="27"/>
    </x:row>
    <x:row r="29">
      <x:c r="A29" s="27"/>
      <x:c r="B29" s="27"/>
      <x:c r="C29" s="27"/>
      <x:c r="D29" s="27"/>
      <x:c r="E29" s="27"/>
    </x:row>
    <x:row r="30">
      <x:c r="A30" s="27"/>
      <x:c r="B30" s="27"/>
      <x:c r="C30" s="27"/>
      <x:c r="D30" s="27"/>
      <x:c r="E30" s="27"/>
    </x:row>
    <x:row r="31">
      <x:c r="A31" s="27"/>
      <x:c r="B31" s="27"/>
      <x:c r="C31" s="27"/>
      <x:c r="D31" s="27"/>
      <x:c r="E31" s="27"/>
    </x:row>
    <x:row r="32">
      <x:c r="A32" s="27"/>
      <x:c r="B32" s="27"/>
      <x:c r="C32" s="27"/>
      <x:c r="D32" s="27"/>
      <x:c r="E32" s="27"/>
    </x:row>
    <x:row r="33">
      <x:c r="A33" s="27"/>
      <x:c r="B33" s="27"/>
      <x:c r="C33" s="27"/>
      <x:c r="D33" s="27"/>
      <x:c r="E33" s="27"/>
    </x:row>
    <x:row r="34">
      <x:c r="A34" s="27"/>
      <x:c r="B34" s="27"/>
      <x:c r="C34" s="27"/>
      <x:c r="D34" s="27"/>
      <x:c r="E34" s="27"/>
    </x:row>
    <x:row r="35">
      <x:c r="A35" s="27"/>
      <x:c r="B35" s="27"/>
      <x:c r="C35" s="27"/>
      <x:c r="D35" s="27"/>
      <x:c r="E35" s="27"/>
    </x:row>
    <x:row r="36">
      <x:c r="A36" s="27"/>
      <x:c r="B36" s="27"/>
      <x:c r="C36" s="27"/>
      <x:c r="D36" s="27"/>
      <x:c r="E36" s="27"/>
    </x:row>
    <x:row r="37">
      <x:c r="A37" s="27"/>
      <x:c r="B37" s="27"/>
      <x:c r="C37" s="27"/>
      <x:c r="D37" s="27"/>
      <x:c r="E37" s="27"/>
    </x:row>
    <x:row r="38">
      <x:c r="A38" s="27"/>
      <x:c r="B38" s="27"/>
      <x:c r="C38" s="27"/>
      <x:c r="D38" s="27"/>
      <x:c r="E38" s="27"/>
    </x:row>
    <x:row r="39">
      <x:c r="A39" s="27"/>
      <x:c r="B39" s="27"/>
      <x:c r="C39" s="27"/>
      <x:c r="D39" s="27"/>
      <x:c r="E39" s="27"/>
    </x:row>
    <x:row r="40">
      <x:c r="A40" s="27"/>
      <x:c r="B40" s="27"/>
      <x:c r="C40" s="27"/>
      <x:c r="D40" s="27"/>
      <x:c r="E40" s="27"/>
    </x:row>
    <x:row r="41">
      <x:c r="A41" s="27"/>
      <x:c r="B41" s="27"/>
      <x:c r="C41" s="27"/>
      <x:c r="D41" s="27"/>
      <x:c r="E41" s="27"/>
    </x:row>
    <x:row r="42">
      <x:c r="A42" s="27"/>
      <x:c r="B42" s="27"/>
      <x:c r="C42" s="27"/>
      <x:c r="D42" s="27"/>
      <x:c r="E42" s="27"/>
    </x:row>
    <x:row r="43">
      <x:c r="A43" s="27"/>
      <x:c r="B43" s="27"/>
      <x:c r="C43" s="27"/>
      <x:c r="D43" s="27"/>
      <x:c r="E43" s="27"/>
    </x:row>
    <x:row r="44">
      <x:c r="A44" s="27"/>
      <x:c r="B44" s="27"/>
      <x:c r="C44" s="27"/>
      <x:c r="D44" s="27"/>
      <x:c r="E44" s="27"/>
    </x:row>
    <x:row r="45">
      <x:c r="A45" s="27"/>
      <x:c r="B45" s="27"/>
      <x:c r="C45" s="27"/>
      <x:c r="D45" s="27"/>
      <x:c r="E45" s="27"/>
    </x:row>
    <x:row r="46">
      <x:c r="A46" s="27"/>
      <x:c r="B46" s="27"/>
      <x:c r="C46" s="27"/>
      <x:c r="D46" s="27"/>
      <x:c r="E46" s="27"/>
    </x:row>
    <x:row r="47">
      <x:c r="A47" s="27"/>
      <x:c r="B47" s="27"/>
      <x:c r="C47" s="27"/>
      <x:c r="D47" s="27"/>
      <x:c r="E47" s="27"/>
    </x:row>
    <x:row r="48">
      <x:c r="A48" s="27"/>
      <x:c r="B48" s="27"/>
      <x:c r="C48" s="27"/>
      <x:c r="D48" s="27"/>
      <x:c r="E48" s="27"/>
    </x:row>
    <x:row r="49">
      <x:c r="A49" s="27"/>
      <x:c r="B49" s="27"/>
      <x:c r="C49" s="27"/>
      <x:c r="D49" s="27"/>
      <x:c r="E49" s="27"/>
    </x:row>
    <x:row r="50">
      <x:c r="A50" s="27"/>
      <x:c r="B50" s="27"/>
      <x:c r="C50" s="27"/>
      <x:c r="D50" s="27"/>
      <x:c r="E50" s="27"/>
    </x:row>
    <x:row r="51">
      <x:c r="A51" s="27"/>
      <x:c r="B51" s="27"/>
      <x:c r="C51" s="27"/>
      <x:c r="D51" s="27"/>
      <x:c r="E51" s="27"/>
    </x:row>
    <x:row r="52">
      <x:c r="A52" s="27"/>
      <x:c r="B52" s="27"/>
      <x:c r="C52" s="27"/>
      <x:c r="D52" s="27"/>
      <x:c r="E52" s="27"/>
    </x:row>
    <x:row r="53">
      <x:c r="A53" s="27"/>
      <x:c r="B53" s="27"/>
      <x:c r="C53" s="27"/>
      <x:c r="D53" s="27"/>
      <x:c r="E53" s="27"/>
    </x:row>
    <x:row r="54">
      <x:c r="A54" s="27"/>
      <x:c r="B54" s="27"/>
      <x:c r="C54" s="27"/>
      <x:c r="D54" s="27"/>
      <x:c r="E54" s="27"/>
    </x:row>
  </x:sheetData>
  <x:mergeCells>
    <x:mergeCell ref="A1:E1"/>
  </x:mergeCells>
  <x:dataValidations count="1">
    <x:dataValidation type="list" sqref="D4:D54">
      <x:formula1>Lists!$A$2:$A$9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6" hidden="0" customWidth="1"/>
    <x:col min="4" max="4" width="22" hidden="0" customWidth="1"/>
    <x:col min="5" max="5" width="40" hidden="0" customWidth="1"/>
    <x:col min="6" max="6" width="22" hidden="0" customWidth="1"/>
    <x:col min="7" max="7" width="22" hidden="0" customWidth="1"/>
  </x:cols>
  <x:sheetData>
    <x:row r="1">
      <x:c r="A1" s="13" t="str">
        <x:v>Post-Release Lessons and Escaped Defects</x:v>
      </x:c>
      <x:c r="B1" s="13" t="str">
        <x:v>Post-Release Lessons and Escaped Defects</x:v>
      </x:c>
      <x:c r="C1" s="13" t="str">
        <x:v>Post-Release Lessons and Escaped Defects</x:v>
      </x:c>
      <x:c r="D1" s="13" t="str">
        <x:v>Post-Release Lessons and Escaped Defects</x:v>
      </x:c>
      <x:c r="E1" s="13" t="str">
        <x:v>Post-Release Lessons and Escaped Defects</x:v>
      </x:c>
      <x:c r="F1" s="13" t="str">
        <x:v>Post-Release Lessons and Escaped Defects</x:v>
      </x:c>
      <x:c r="G1" s="13" t="str">
        <x:v>Post-Release Lessons and Escaped Defects</x:v>
      </x:c>
    </x:row>
    <x:row r="3">
      <x:c r="A3" s="26" t="str">
        <x:v>Date</x:v>
      </x:c>
      <x:c r="B3" s="26" t="str">
        <x:v>Release</x:v>
      </x:c>
      <x:c r="C3" s="26" t="str">
        <x:v>Lesson / Defect</x:v>
      </x:c>
      <x:c r="D3" s="26" t="str">
        <x:v>Category</x:v>
      </x:c>
      <x:c r="E3" s="26" t="str">
        <x:v>Action</x:v>
      </x:c>
      <x:c r="F3" s="26" t="str">
        <x:v>Owner</x:v>
      </x:c>
      <x:c r="G3" s="26" t="str">
        <x:v>Status</x:v>
      </x:c>
    </x:row>
    <x:row r="4">
      <x:c r="A4" s="28" t="str"/>
      <x:c r="B4" s="27" t="str"/>
      <x:c r="C4" s="27" t="str"/>
      <x:c r="D4" s="27" t="str"/>
      <x:c r="E4" s="27" t="str"/>
      <x:c r="F4" s="27" t="str"/>
      <x:c r="G4" s="27" t="str"/>
    </x:row>
    <x:row r="5">
      <x:c r="A5" s="28" t="str"/>
      <x:c r="B5" s="27" t="str"/>
      <x:c r="C5" s="27" t="str"/>
      <x:c r="D5" s="27" t="str"/>
      <x:c r="E5" s="27" t="str"/>
      <x:c r="F5" s="27" t="str"/>
      <x:c r="G5" s="27" t="str"/>
    </x:row>
    <x:row r="6">
      <x:c r="A6" s="28" t="str"/>
      <x:c r="B6" s="27" t="str"/>
      <x:c r="C6" s="27" t="str"/>
      <x:c r="D6" s="27" t="str"/>
      <x:c r="E6" s="27" t="str"/>
      <x:c r="F6" s="27" t="str"/>
      <x:c r="G6" s="27" t="str"/>
    </x:row>
    <x:row r="7">
      <x:c r="A7" s="28" t="str"/>
      <x:c r="B7" s="27" t="str"/>
      <x:c r="C7" s="27" t="str"/>
      <x:c r="D7" s="27" t="str"/>
      <x:c r="E7" s="27" t="str"/>
      <x:c r="F7" s="27" t="str"/>
      <x:c r="G7" s="27" t="str"/>
    </x:row>
    <x:row r="8">
      <x:c r="A8" s="28" t="str"/>
      <x:c r="B8" s="27" t="str"/>
      <x:c r="C8" s="27" t="str"/>
      <x:c r="D8" s="27" t="str"/>
      <x:c r="E8" s="27" t="str"/>
      <x:c r="F8" s="27" t="str"/>
      <x:c r="G8" s="27" t="str"/>
    </x:row>
    <x:row r="9">
      <x:c r="A9" s="28" t="str"/>
      <x:c r="B9" s="27" t="str"/>
      <x:c r="C9" s="27" t="str"/>
      <x:c r="D9" s="27" t="str"/>
      <x:c r="E9" s="27" t="str"/>
      <x:c r="F9" s="27" t="str"/>
      <x:c r="G9" s="27" t="str"/>
    </x:row>
    <x:row r="10">
      <x:c r="A10" s="28" t="str"/>
      <x:c r="B10" s="27" t="str"/>
      <x:c r="C10" s="27" t="str"/>
      <x:c r="D10" s="27" t="str"/>
      <x:c r="E10" s="27" t="str"/>
      <x:c r="F10" s="27" t="str"/>
      <x:c r="G10" s="27" t="str"/>
    </x:row>
    <x:row r="11">
      <x:c r="A11" s="28" t="str"/>
      <x:c r="B11" s="27" t="str"/>
      <x:c r="C11" s="27" t="str"/>
      <x:c r="D11" s="27" t="str"/>
      <x:c r="E11" s="27" t="str"/>
      <x:c r="F11" s="27" t="str"/>
      <x:c r="G11" s="27" t="str"/>
    </x:row>
    <x:row r="12">
      <x:c r="A12" s="28" t="str"/>
      <x:c r="B12" s="27" t="str"/>
      <x:c r="C12" s="27" t="str"/>
      <x:c r="D12" s="27" t="str"/>
      <x:c r="E12" s="27" t="str"/>
      <x:c r="F12" s="27" t="str"/>
      <x:c r="G12" s="27" t="str"/>
    </x:row>
    <x:row r="13">
      <x:c r="A13" s="28" t="str"/>
      <x:c r="B13" s="27" t="str"/>
      <x:c r="C13" s="27" t="str"/>
      <x:c r="D13" s="27" t="str"/>
      <x:c r="E13" s="27" t="str"/>
      <x:c r="F13" s="27" t="str"/>
      <x:c r="G13" s="27" t="str"/>
    </x:row>
    <x:row r="14">
      <x:c r="A14" s="28" t="str"/>
      <x:c r="B14" s="27" t="str"/>
      <x:c r="C14" s="27" t="str"/>
      <x:c r="D14" s="27" t="str"/>
      <x:c r="E14" s="27" t="str"/>
      <x:c r="F14" s="27" t="str"/>
      <x:c r="G14" s="27" t="str"/>
    </x:row>
    <x:row r="15">
      <x:c r="A15" s="28" t="str"/>
      <x:c r="B15" s="27" t="str"/>
      <x:c r="C15" s="27" t="str"/>
      <x:c r="D15" s="27" t="str"/>
      <x:c r="E15" s="27" t="str"/>
      <x:c r="F15" s="27" t="str"/>
      <x:c r="G15" s="27" t="str"/>
    </x:row>
    <x:row r="16">
      <x:c r="A16" s="28" t="str"/>
      <x:c r="B16" s="27" t="str"/>
      <x:c r="C16" s="27" t="str"/>
      <x:c r="D16" s="27" t="str"/>
      <x:c r="E16" s="27" t="str"/>
      <x:c r="F16" s="27" t="str"/>
      <x:c r="G16" s="27" t="str"/>
    </x:row>
    <x:row r="17">
      <x:c r="A17" s="28" t="str"/>
      <x:c r="B17" s="27" t="str"/>
      <x:c r="C17" s="27" t="str"/>
      <x:c r="D17" s="27" t="str"/>
      <x:c r="E17" s="27" t="str"/>
      <x:c r="F17" s="27" t="str"/>
      <x:c r="G17" s="27" t="str"/>
    </x:row>
    <x:row r="18">
      <x:c r="A18" s="28" t="str"/>
      <x:c r="B18" s="27" t="str"/>
      <x:c r="C18" s="27" t="str"/>
      <x:c r="D18" s="27" t="str"/>
      <x:c r="E18" s="27" t="str"/>
      <x:c r="F18" s="27" t="str"/>
      <x:c r="G18" s="27" t="str"/>
    </x:row>
    <x:row r="19">
      <x:c r="A19" s="28" t="str"/>
      <x:c r="B19" s="27" t="str"/>
      <x:c r="C19" s="27" t="str"/>
      <x:c r="D19" s="27" t="str"/>
      <x:c r="E19" s="27" t="str"/>
      <x:c r="F19" s="27" t="str"/>
      <x:c r="G19" s="27" t="str"/>
    </x:row>
    <x:row r="20">
      <x:c r="A20" s="28" t="str"/>
      <x:c r="B20" s="27" t="str"/>
      <x:c r="C20" s="27" t="str"/>
      <x:c r="D20" s="27" t="str"/>
      <x:c r="E20" s="27" t="str"/>
      <x:c r="F20" s="27" t="str"/>
      <x:c r="G20" s="27" t="str"/>
    </x:row>
    <x:row r="21">
      <x:c r="A21" s="28" t="str"/>
      <x:c r="B21" s="27" t="str"/>
      <x:c r="C21" s="27" t="str"/>
      <x:c r="D21" s="27" t="str"/>
      <x:c r="E21" s="27" t="str"/>
      <x:c r="F21" s="27" t="str"/>
      <x:c r="G21" s="27" t="str"/>
    </x:row>
    <x:row r="22">
      <x:c r="A22" s="28" t="str"/>
      <x:c r="B22" s="27" t="str"/>
      <x:c r="C22" s="27" t="str"/>
      <x:c r="D22" s="27" t="str"/>
      <x:c r="E22" s="27" t="str"/>
      <x:c r="F22" s="27" t="str"/>
      <x:c r="G22" s="27" t="str"/>
    </x:row>
    <x:row r="23">
      <x:c r="A23" s="28" t="str"/>
      <x:c r="B23" s="27" t="str"/>
      <x:c r="C23" s="27" t="str"/>
      <x:c r="D23" s="27" t="str"/>
      <x:c r="E23" s="27" t="str"/>
      <x:c r="F23" s="27" t="str"/>
      <x:c r="G23" s="27" t="str"/>
    </x:row>
    <x:row r="24">
      <x:c r="A24" s="28" t="str"/>
      <x:c r="B24" s="27" t="str"/>
      <x:c r="C24" s="27" t="str"/>
      <x:c r="D24" s="27" t="str"/>
      <x:c r="E24" s="27" t="str"/>
      <x:c r="F24" s="27" t="str"/>
      <x:c r="G24" s="27" t="str"/>
    </x:row>
    <x:row r="25">
      <x:c r="A25" s="28" t="str"/>
      <x:c r="B25" s="27" t="str"/>
      <x:c r="C25" s="27" t="str"/>
      <x:c r="D25" s="27" t="str"/>
      <x:c r="E25" s="27" t="str"/>
      <x:c r="F25" s="27" t="str"/>
      <x:c r="G25" s="27" t="str"/>
    </x:row>
    <x:row r="26">
      <x:c r="A26" s="28" t="str"/>
      <x:c r="B26" s="27" t="str"/>
      <x:c r="C26" s="27" t="str"/>
      <x:c r="D26" s="27" t="str"/>
      <x:c r="E26" s="27" t="str"/>
      <x:c r="F26" s="27" t="str"/>
      <x:c r="G26" s="27" t="str"/>
    </x:row>
    <x:row r="27">
      <x:c r="A27" s="28" t="str"/>
      <x:c r="B27" s="27" t="str"/>
      <x:c r="C27" s="27" t="str"/>
      <x:c r="D27" s="27" t="str"/>
      <x:c r="E27" s="27" t="str"/>
      <x:c r="F27" s="27" t="str"/>
      <x:c r="G27" s="27" t="str"/>
    </x:row>
    <x:row r="28">
      <x:c r="A28" s="28" t="str"/>
      <x:c r="B28" s="27" t="str"/>
      <x:c r="C28" s="27" t="str"/>
      <x:c r="D28" s="27" t="str"/>
      <x:c r="E28" s="27" t="str"/>
      <x:c r="F28" s="27" t="str"/>
      <x:c r="G28" s="27" t="str"/>
    </x:row>
    <x:row r="29">
      <x:c r="A29" s="28" t="str"/>
      <x:c r="B29" s="27" t="str"/>
      <x:c r="C29" s="27" t="str"/>
      <x:c r="D29" s="27" t="str"/>
      <x:c r="E29" s="27" t="str"/>
      <x:c r="F29" s="27" t="str"/>
      <x:c r="G29" s="27" t="str"/>
    </x:row>
    <x:row r="30">
      <x:c r="A30" s="28" t="str"/>
      <x:c r="B30" s="27" t="str"/>
      <x:c r="C30" s="27" t="str"/>
      <x:c r="D30" s="27" t="str"/>
      <x:c r="E30" s="27" t="str"/>
      <x:c r="F30" s="27" t="str"/>
      <x:c r="G30" s="27" t="str"/>
    </x:row>
    <x:row r="31">
      <x:c r="A31" s="28" t="str"/>
      <x:c r="B31" s="27" t="str"/>
      <x:c r="C31" s="27" t="str"/>
      <x:c r="D31" s="27" t="str"/>
      <x:c r="E31" s="27" t="str"/>
      <x:c r="F31" s="27" t="str"/>
      <x:c r="G31" s="27" t="str"/>
    </x:row>
    <x:row r="32">
      <x:c r="A32" s="28" t="str"/>
      <x:c r="B32" s="27" t="str"/>
      <x:c r="C32" s="27" t="str"/>
      <x:c r="D32" s="27" t="str"/>
      <x:c r="E32" s="27" t="str"/>
      <x:c r="F32" s="27" t="str"/>
      <x:c r="G32" s="27" t="str"/>
    </x:row>
    <x:row r="33">
      <x:c r="A33" s="28" t="str"/>
      <x:c r="B33" s="27" t="str"/>
      <x:c r="C33" s="27" t="str"/>
      <x:c r="D33" s="27" t="str"/>
      <x:c r="E33" s="27" t="str"/>
      <x:c r="F33" s="27" t="str"/>
      <x:c r="G33" s="27" t="str"/>
    </x:row>
    <x:row r="34">
      <x:c r="A34" s="28" t="str"/>
      <x:c r="B34" s="27" t="str"/>
      <x:c r="C34" s="27" t="str"/>
      <x:c r="D34" s="27" t="str"/>
      <x:c r="E34" s="27" t="str"/>
      <x:c r="F34" s="27" t="str"/>
      <x:c r="G34" s="27" t="str"/>
    </x:row>
    <x:row r="35">
      <x:c r="A35" s="28" t="str"/>
      <x:c r="B35" s="27" t="str"/>
      <x:c r="C35" s="27" t="str"/>
      <x:c r="D35" s="27" t="str"/>
      <x:c r="E35" s="27" t="str"/>
      <x:c r="F35" s="27" t="str"/>
      <x:c r="G35" s="27" t="str"/>
    </x:row>
    <x:row r="36">
      <x:c r="A36" s="28" t="str"/>
      <x:c r="B36" s="27" t="str"/>
      <x:c r="C36" s="27" t="str"/>
      <x:c r="D36" s="27" t="str"/>
      <x:c r="E36" s="27" t="str"/>
      <x:c r="F36" s="27" t="str"/>
      <x:c r="G36" s="27" t="str"/>
    </x:row>
    <x:row r="37">
      <x:c r="A37" s="28" t="str"/>
      <x:c r="B37" s="27" t="str"/>
      <x:c r="C37" s="27" t="str"/>
      <x:c r="D37" s="27" t="str"/>
      <x:c r="E37" s="27" t="str"/>
      <x:c r="F37" s="27" t="str"/>
      <x:c r="G37" s="27" t="str"/>
    </x:row>
    <x:row r="38">
      <x:c r="A38" s="28" t="str"/>
      <x:c r="B38" s="27" t="str"/>
      <x:c r="C38" s="27" t="str"/>
      <x:c r="D38" s="27" t="str"/>
      <x:c r="E38" s="27" t="str"/>
      <x:c r="F38" s="27" t="str"/>
      <x:c r="G38" s="27" t="str"/>
    </x:row>
    <x:row r="39">
      <x:c r="A39" s="28" t="str"/>
      <x:c r="B39" s="27" t="str"/>
      <x:c r="C39" s="27" t="str"/>
      <x:c r="D39" s="27" t="str"/>
      <x:c r="E39" s="27" t="str"/>
      <x:c r="F39" s="27" t="str"/>
      <x:c r="G39" s="27" t="str"/>
    </x:row>
    <x:row r="40">
      <x:c r="A40" s="28" t="str"/>
      <x:c r="B40" s="27" t="str"/>
      <x:c r="C40" s="27" t="str"/>
      <x:c r="D40" s="27" t="str"/>
      <x:c r="E40" s="27" t="str"/>
      <x:c r="F40" s="27" t="str"/>
      <x:c r="G40" s="27" t="str"/>
    </x:row>
    <x:row r="41">
      <x:c r="A41" s="28" t="str"/>
      <x:c r="B41" s="27" t="str"/>
      <x:c r="C41" s="27" t="str"/>
      <x:c r="D41" s="27" t="str"/>
      <x:c r="E41" s="27" t="str"/>
      <x:c r="F41" s="27" t="str"/>
      <x:c r="G41" s="27" t="str"/>
    </x:row>
    <x:row r="42">
      <x:c r="A42" s="28" t="str"/>
      <x:c r="B42" s="27" t="str"/>
      <x:c r="C42" s="27" t="str"/>
      <x:c r="D42" s="27" t="str"/>
      <x:c r="E42" s="27" t="str"/>
      <x:c r="F42" s="27" t="str"/>
      <x:c r="G42" s="27" t="str"/>
    </x:row>
    <x:row r="43">
      <x:c r="A43" s="28" t="str"/>
      <x:c r="B43" s="27" t="str"/>
      <x:c r="C43" s="27" t="str"/>
      <x:c r="D43" s="27" t="str"/>
      <x:c r="E43" s="27" t="str"/>
      <x:c r="F43" s="27" t="str"/>
      <x:c r="G43" s="27" t="str"/>
    </x:row>
    <x:row r="44">
      <x:c r="A44" s="28" t="str"/>
      <x:c r="B44" s="27" t="str"/>
      <x:c r="C44" s="27" t="str"/>
      <x:c r="D44" s="27" t="str"/>
      <x:c r="E44" s="27" t="str"/>
      <x:c r="F44" s="27" t="str"/>
      <x:c r="G44" s="27" t="str"/>
    </x:row>
    <x:row r="45">
      <x:c r="A45" s="28" t="str"/>
      <x:c r="B45" s="27" t="str"/>
      <x:c r="C45" s="27" t="str"/>
      <x:c r="D45" s="27" t="str"/>
      <x:c r="E45" s="27" t="str"/>
      <x:c r="F45" s="27" t="str"/>
      <x:c r="G45" s="27" t="str"/>
    </x:row>
    <x:row r="46">
      <x:c r="A46" s="28" t="str"/>
      <x:c r="B46" s="27" t="str"/>
      <x:c r="C46" s="27" t="str"/>
      <x:c r="D46" s="27" t="str"/>
      <x:c r="E46" s="27" t="str"/>
      <x:c r="F46" s="27" t="str"/>
      <x:c r="G46" s="27" t="str"/>
    </x:row>
    <x:row r="47">
      <x:c r="A47" s="28" t="str"/>
      <x:c r="B47" s="27" t="str"/>
      <x:c r="C47" s="27" t="str"/>
      <x:c r="D47" s="27" t="str"/>
      <x:c r="E47" s="27" t="str"/>
      <x:c r="F47" s="27" t="str"/>
      <x:c r="G47" s="27" t="str"/>
    </x:row>
    <x:row r="48">
      <x:c r="A48" s="28" t="str"/>
      <x:c r="B48" s="27" t="str"/>
      <x:c r="C48" s="27" t="str"/>
      <x:c r="D48" s="27" t="str"/>
      <x:c r="E48" s="27" t="str"/>
      <x:c r="F48" s="27" t="str"/>
      <x:c r="G48" s="27" t="str"/>
    </x:row>
    <x:row r="49">
      <x:c r="A49" s="28" t="str"/>
      <x:c r="B49" s="27" t="str"/>
      <x:c r="C49" s="27" t="str"/>
      <x:c r="D49" s="27" t="str"/>
      <x:c r="E49" s="27" t="str"/>
      <x:c r="F49" s="27" t="str"/>
      <x:c r="G49" s="27" t="str"/>
    </x:row>
    <x:row r="50">
      <x:c r="A50" s="28" t="str"/>
      <x:c r="B50" s="27" t="str"/>
      <x:c r="C50" s="27" t="str"/>
      <x:c r="D50" s="27" t="str"/>
      <x:c r="E50" s="27" t="str"/>
      <x:c r="F50" s="27" t="str"/>
      <x:c r="G50" s="27" t="str"/>
    </x:row>
    <x:row r="51">
      <x:c r="A51" s="28" t="str"/>
      <x:c r="B51" s="27" t="str"/>
      <x:c r="C51" s="27" t="str"/>
      <x:c r="D51" s="27" t="str"/>
      <x:c r="E51" s="27" t="str"/>
      <x:c r="F51" s="27" t="str"/>
      <x:c r="G51" s="27" t="str"/>
    </x:row>
    <x:row r="52">
      <x:c r="A52" s="28" t="str"/>
      <x:c r="B52" s="27" t="str"/>
      <x:c r="C52" s="27" t="str"/>
      <x:c r="D52" s="27" t="str"/>
      <x:c r="E52" s="27" t="str"/>
      <x:c r="F52" s="27" t="str"/>
      <x:c r="G52" s="27" t="str"/>
    </x:row>
    <x:row r="53">
      <x:c r="A53" s="28" t="str"/>
      <x:c r="B53" s="27" t="str"/>
      <x:c r="C53" s="27" t="str"/>
      <x:c r="D53" s="27" t="str"/>
      <x:c r="E53" s="27" t="str"/>
      <x:c r="F53" s="27" t="str"/>
      <x:c r="G53" s="27" t="str"/>
    </x:row>
    <x:row r="54">
      <x:c r="A54" s="28" t="str"/>
      <x:c r="B54" s="27" t="str"/>
      <x:c r="C54" s="27" t="str"/>
      <x:c r="D54" s="27" t="str"/>
      <x:c r="E54" s="27" t="str"/>
      <x:c r="F54" s="27" t="str"/>
      <x:c r="G54" s="27" t="str"/>
    </x:row>
  </x:sheetData>
  <x:mergeCells>
    <x:mergeCell ref="A1:G1"/>
  </x:mergeCells>
  <x:dataValidations count="2">
    <x:dataValidation type="list" sqref="D4:D54">
      <x:formula1>"Testing,Automation,Jira,Deployment,Monitoring,Communication,Data/Reporting"</x:formula1>
    </x:dataValidation>
    <x:dataValidation type="list" sqref="G4:G54">
      <x:formula1>"Open,In Progress,Done"</x:formula1>
    </x:dataValidation>
  </x:dataValidations>
  <x:pageMargins left="0.7" right="0.7" top="0.75" bottom="0.75" header="0.3" footer="0.3"/>
</x:worksheet>
</file>